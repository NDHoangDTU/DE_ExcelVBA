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8" windowWidth="14808" windowHeight="8028" activeTab="1"/>
  </bookViews>
  <sheets>
    <sheet name="Sheet1" sheetId="1" r:id="rId1"/>
    <sheet name="Sheet2" sheetId="2" r:id="rId2"/>
  </sheets>
  <functionGroups builtInGroupCount="17"/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B6" i="2" l="1"/>
  <c r="B5" i="2"/>
  <c r="B7" i="2"/>
  <c r="B4" i="2" l="1"/>
  <c r="F2" i="1"/>
  <c r="B4" i="1"/>
</calcChain>
</file>

<file path=xl/comments1.xml><?xml version="1.0" encoding="utf-8"?>
<comments xmlns="http://schemas.openxmlformats.org/spreadsheetml/2006/main">
  <authors>
    <author>Author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Test Problem 1
Deb, K., 2000. An efficient constraint handling method for genetic algorithms. Computer Methods in Applied Mechanics and Engineering, 186(2): 311-338. </t>
        </r>
      </text>
    </comment>
  </commentList>
</comments>
</file>

<file path=xl/sharedStrings.xml><?xml version="1.0" encoding="utf-8"?>
<sst xmlns="http://schemas.openxmlformats.org/spreadsheetml/2006/main" count="34" uniqueCount="17">
  <si>
    <t>Decision variables</t>
  </si>
  <si>
    <t>x0</t>
  </si>
  <si>
    <t>x1</t>
  </si>
  <si>
    <t>Objective Function</t>
  </si>
  <si>
    <t>LB</t>
  </si>
  <si>
    <t>UB</t>
  </si>
  <si>
    <t>D</t>
  </si>
  <si>
    <t>t</t>
  </si>
  <si>
    <t>X1</t>
  </si>
  <si>
    <t>X0</t>
  </si>
  <si>
    <t>N</t>
  </si>
  <si>
    <t>f</t>
  </si>
  <si>
    <t>MaxI</t>
  </si>
  <si>
    <t>Constraints</t>
  </si>
  <si>
    <t>&gt;=</t>
  </si>
  <si>
    <t>Modified OF</t>
  </si>
  <si>
    <t>OF_wc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</si>
</sst>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0000"/>
      <name val="Calibri"/>
      <family val="2"/>
    </font>
    <font>
      <sz val="1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6</xdr:row>
          <xdr:rowOff>0</xdr:rowOff>
        </xdr:from>
        <xdr:to>
          <xdr:col>3</xdr:col>
          <xdr:colOff>0</xdr:colOff>
          <xdr:row>7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1112520</xdr:colOff>
          <xdr:row>9</xdr:row>
          <xdr:rowOff>53340</xdr:rowOff>
        </xdr:from>
        <xdr:to>
          <xdr:col>3</xdr:col>
          <xdr:colOff>22860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1"/>
  <sheetViews>
    <sheetView zoomScale="160" zoomScaleNormal="160" workbookViewId="0">
      <selection activeCell="C15" sqref="C15"/>
    </sheetView>
  </sheetViews>
  <sheetFormatPr defaultColWidth="8.77734375" defaultRowHeight="13.8" x14ac:dyDescent="0.25"/>
  <cols>
    <col min="1" max="1" width="16.44140625" style="1" bestFit="1" customWidth="1"/>
    <col min="2" max="8" width="8.77734375" style="1"/>
    <col min="9" max="9" width="12.44140625" style="1" bestFit="1" customWidth="1"/>
    <col min="10" max="10" width="8.77734375" style="1"/>
    <col min="11" max="11" width="13.21875" style="1" bestFit="1" customWidth="1"/>
    <col min="12" max="16384" width="8.77734375" style="1"/>
  </cols>
  <sheetData>
    <row r="1" spans="1:13" x14ac:dyDescent="0.25">
      <c r="A1" s="1" t="s">
        <v>0</v>
      </c>
      <c r="B1" s="1" t="s">
        <v>1</v>
      </c>
      <c r="C1" s="1" t="s">
        <v>2</v>
      </c>
      <c r="D1" s="2" t="s">
        <v>6</v>
      </c>
      <c r="F1" s="1" t="s">
        <v>1</v>
      </c>
      <c r="G1" s="1" t="s">
        <v>2</v>
      </c>
      <c r="I1" s="3" t="s">
        <v>12</v>
      </c>
      <c r="J1" s="4" t="s">
        <v>7</v>
      </c>
      <c r="K1" s="4" t="s">
        <v>11</v>
      </c>
      <c r="L1" s="4" t="s">
        <v>9</v>
      </c>
      <c r="M1" s="4" t="s">
        <v>8</v>
      </c>
    </row>
    <row r="2" spans="1:13" x14ac:dyDescent="0.25">
      <c r="B2" s="5">
        <v>2.0000877074614634</v>
      </c>
      <c r="C2" s="5">
        <v>-4.9998210322457055</v>
      </c>
      <c r="D2" s="6">
        <v>2</v>
      </c>
      <c r="E2" s="2" t="s">
        <v>4</v>
      </c>
      <c r="F2" s="6">
        <f>-10</f>
        <v>-10</v>
      </c>
      <c r="G2" s="6">
        <v>-10</v>
      </c>
      <c r="I2" s="6">
        <v>30</v>
      </c>
      <c r="J2" s="7">
        <v>0</v>
      </c>
      <c r="K2" s="7">
        <v>11.438245771591085</v>
      </c>
      <c r="L2" s="7">
        <v>5.2189695835113525</v>
      </c>
      <c r="M2" s="7">
        <v>-4.7234487533569336</v>
      </c>
    </row>
    <row r="3" spans="1:13" x14ac:dyDescent="0.25">
      <c r="D3" s="3" t="s">
        <v>10</v>
      </c>
      <c r="E3" s="2" t="s">
        <v>5</v>
      </c>
      <c r="F3" s="6">
        <v>10</v>
      </c>
      <c r="G3" s="6">
        <v>10</v>
      </c>
      <c r="J3" s="7">
        <v>1</v>
      </c>
      <c r="K3" s="7">
        <v>11.438245771591085</v>
      </c>
      <c r="L3" s="7">
        <v>5.2189695835113525</v>
      </c>
      <c r="M3" s="7">
        <v>-4.7234487533569336</v>
      </c>
    </row>
    <row r="4" spans="1:13" x14ac:dyDescent="0.25">
      <c r="A4" s="1" t="s">
        <v>3</v>
      </c>
      <c r="B4" s="5">
        <f>(B2-2)^2 + (C2+5)^2+1</f>
        <v>1.0000000397220559</v>
      </c>
      <c r="D4" s="6">
        <v>12</v>
      </c>
      <c r="J4" s="7">
        <v>2</v>
      </c>
      <c r="K4" s="7">
        <v>11.438245771591085</v>
      </c>
      <c r="L4" s="7">
        <v>5.2189695835113525</v>
      </c>
      <c r="M4" s="7">
        <v>-4.7234487533569336</v>
      </c>
    </row>
    <row r="5" spans="1:13" x14ac:dyDescent="0.25">
      <c r="J5" s="7">
        <v>3</v>
      </c>
      <c r="K5" s="7">
        <v>7.6000550642861704</v>
      </c>
      <c r="L5" s="7">
        <v>3.7413586974143982</v>
      </c>
      <c r="M5" s="7">
        <v>-6.8888422250747681</v>
      </c>
    </row>
    <row r="6" spans="1:13" x14ac:dyDescent="0.25">
      <c r="J6" s="7">
        <v>4</v>
      </c>
      <c r="K6" s="7">
        <v>3.35468928235561</v>
      </c>
      <c r="L6" s="7">
        <v>3.5148595795035362</v>
      </c>
      <c r="M6" s="7">
        <v>-5.2447237968444824</v>
      </c>
    </row>
    <row r="7" spans="1:13" x14ac:dyDescent="0.25">
      <c r="J7" s="7">
        <v>5</v>
      </c>
      <c r="K7" s="7">
        <v>3.35468928235561</v>
      </c>
      <c r="L7" s="7">
        <v>3.5148595795035362</v>
      </c>
      <c r="M7" s="7">
        <v>-5.2447237968444824</v>
      </c>
    </row>
    <row r="8" spans="1:13" x14ac:dyDescent="0.25">
      <c r="J8" s="7">
        <v>6</v>
      </c>
      <c r="K8" s="7">
        <v>1.240506431005342</v>
      </c>
      <c r="L8" s="7">
        <v>1.8609550801920705</v>
      </c>
      <c r="M8" s="7">
        <v>-4.5297097265720367</v>
      </c>
    </row>
    <row r="9" spans="1:13" x14ac:dyDescent="0.25">
      <c r="J9" s="7">
        <v>7</v>
      </c>
      <c r="K9" s="7">
        <v>1.0128682172518997</v>
      </c>
      <c r="L9" s="7">
        <v>2.0099441853089957</v>
      </c>
      <c r="M9" s="7">
        <v>-5.113001462072134</v>
      </c>
    </row>
    <row r="10" spans="1:13" ht="13.95" x14ac:dyDescent="0.25">
      <c r="J10" s="7">
        <v>8</v>
      </c>
      <c r="K10" s="7">
        <v>1.0128682172518997</v>
      </c>
      <c r="L10" s="7">
        <v>2.0099441853089957</v>
      </c>
      <c r="M10" s="7">
        <v>-5.113001462072134</v>
      </c>
    </row>
    <row r="11" spans="1:13" ht="13.95" x14ac:dyDescent="0.3">
      <c r="J11" s="7">
        <v>9</v>
      </c>
      <c r="K11" s="7">
        <v>1.0128682172518997</v>
      </c>
      <c r="L11" s="7">
        <v>2.0099441853089957</v>
      </c>
      <c r="M11" s="7">
        <v>-5.113001462072134</v>
      </c>
    </row>
    <row r="12" spans="1:13" ht="13.95" x14ac:dyDescent="0.3">
      <c r="J12" s="7">
        <v>10</v>
      </c>
      <c r="K12" s="7">
        <v>1.0066902236630015</v>
      </c>
      <c r="L12" s="7">
        <v>2.0361404733630479</v>
      </c>
      <c r="M12" s="7">
        <v>-4.9266236424446106</v>
      </c>
    </row>
    <row r="13" spans="1:13" ht="13.95" x14ac:dyDescent="0.3">
      <c r="J13" s="7">
        <v>11</v>
      </c>
      <c r="K13" s="7">
        <v>1.0064029675229675</v>
      </c>
      <c r="L13" s="7">
        <v>2.0580064366222359</v>
      </c>
      <c r="M13" s="7">
        <v>-4.9448799416422844</v>
      </c>
    </row>
    <row r="14" spans="1:13" ht="13.95" x14ac:dyDescent="0.3">
      <c r="J14" s="7">
        <v>12</v>
      </c>
      <c r="K14" s="7">
        <v>1.0000751377369279</v>
      </c>
      <c r="L14" s="7">
        <v>1.9919157245931274</v>
      </c>
      <c r="M14" s="7">
        <v>-4.9968723446363583</v>
      </c>
    </row>
    <row r="15" spans="1:13" ht="13.95" x14ac:dyDescent="0.3">
      <c r="J15" s="7">
        <v>13</v>
      </c>
      <c r="K15" s="7">
        <v>1.0000751377369279</v>
      </c>
      <c r="L15" s="7">
        <v>1.9919157245931274</v>
      </c>
      <c r="M15" s="7">
        <v>-4.9968723446363583</v>
      </c>
    </row>
    <row r="16" spans="1:13" ht="13.95" x14ac:dyDescent="0.3">
      <c r="J16" s="7">
        <v>14</v>
      </c>
      <c r="K16" s="7">
        <v>1.0000307438998293</v>
      </c>
      <c r="L16" s="7">
        <v>2.0053502936708583</v>
      </c>
      <c r="M16" s="7">
        <v>-4.9985445765341865</v>
      </c>
    </row>
    <row r="17" spans="10:13" ht="13.95" x14ac:dyDescent="0.3">
      <c r="J17" s="7">
        <v>15</v>
      </c>
      <c r="K17" s="7">
        <v>1.0000307438998293</v>
      </c>
      <c r="L17" s="7">
        <v>2.0053502936708583</v>
      </c>
      <c r="M17" s="7">
        <v>-4.9985445765341865</v>
      </c>
    </row>
    <row r="18" spans="10:13" ht="13.95" x14ac:dyDescent="0.3">
      <c r="J18" s="7">
        <v>16</v>
      </c>
      <c r="K18" s="7">
        <v>1.0000307438998293</v>
      </c>
      <c r="L18" s="7">
        <v>2.0053502936708583</v>
      </c>
      <c r="M18" s="7">
        <v>-4.9985445765341865</v>
      </c>
    </row>
    <row r="19" spans="10:13" ht="13.95" x14ac:dyDescent="0.3">
      <c r="J19" s="7">
        <v>17</v>
      </c>
      <c r="K19" s="7">
        <v>1.0000307438998293</v>
      </c>
      <c r="L19" s="7">
        <v>2.0053502936708583</v>
      </c>
      <c r="M19" s="7">
        <v>-4.9985445765341865</v>
      </c>
    </row>
    <row r="20" spans="10:13" ht="13.95" x14ac:dyDescent="0.3">
      <c r="J20" s="7">
        <v>18</v>
      </c>
      <c r="K20" s="7">
        <v>1.0000307438998293</v>
      </c>
      <c r="L20" s="7">
        <v>2.0053502936708583</v>
      </c>
      <c r="M20" s="7">
        <v>-4.9985445765341865</v>
      </c>
    </row>
    <row r="21" spans="10:13" ht="13.95" x14ac:dyDescent="0.3">
      <c r="J21" s="7">
        <v>19</v>
      </c>
      <c r="K21" s="7">
        <v>1.0000307438998293</v>
      </c>
      <c r="L21" s="7">
        <v>2.0053502936708583</v>
      </c>
      <c r="M21" s="7">
        <v>-4.9985445765341865</v>
      </c>
    </row>
    <row r="22" spans="10:13" x14ac:dyDescent="0.25">
      <c r="J22" s="7">
        <v>20</v>
      </c>
      <c r="K22" s="7">
        <v>1.0000307438998293</v>
      </c>
      <c r="L22" s="7">
        <v>2.0053502936708583</v>
      </c>
      <c r="M22" s="7">
        <v>-4.9985445765341865</v>
      </c>
    </row>
    <row r="23" spans="10:13" x14ac:dyDescent="0.25">
      <c r="J23" s="7">
        <v>21</v>
      </c>
      <c r="K23" s="7">
        <v>1.0000073183166667</v>
      </c>
      <c r="L23" s="7">
        <v>2.0011265455331175</v>
      </c>
      <c r="M23" s="7">
        <v>-5.0024595145513899</v>
      </c>
    </row>
    <row r="24" spans="10:13" x14ac:dyDescent="0.25">
      <c r="J24" s="7">
        <v>22</v>
      </c>
      <c r="K24" s="7">
        <v>1.0000033823908439</v>
      </c>
      <c r="L24" s="7">
        <v>1.9993567133626602</v>
      </c>
      <c r="M24" s="7">
        <v>-4.9982770452280647</v>
      </c>
    </row>
    <row r="25" spans="10:13" x14ac:dyDescent="0.25">
      <c r="J25" s="7">
        <v>23</v>
      </c>
      <c r="K25" s="7">
        <v>1.0000033823908439</v>
      </c>
      <c r="L25" s="7">
        <v>1.9993567133626602</v>
      </c>
      <c r="M25" s="7">
        <v>-4.9982770452280647</v>
      </c>
    </row>
    <row r="26" spans="10:13" x14ac:dyDescent="0.25">
      <c r="J26" s="7">
        <v>24</v>
      </c>
      <c r="K26" s="7">
        <v>1.0000033823908439</v>
      </c>
      <c r="L26" s="7">
        <v>1.9993567133626602</v>
      </c>
      <c r="M26" s="7">
        <v>-4.9982770452280647</v>
      </c>
    </row>
    <row r="27" spans="10:13" x14ac:dyDescent="0.25">
      <c r="J27" s="7">
        <v>25</v>
      </c>
      <c r="K27" s="7">
        <v>1.0000027111533638</v>
      </c>
      <c r="L27" s="7">
        <v>2.0016297718971301</v>
      </c>
      <c r="M27" s="7">
        <v>-5.0002345142366664</v>
      </c>
    </row>
    <row r="28" spans="10:13" x14ac:dyDescent="0.25">
      <c r="J28" s="7">
        <v>26</v>
      </c>
      <c r="K28" s="7">
        <v>1.0000015977206673</v>
      </c>
      <c r="L28" s="7">
        <v>2.0005712941333202</v>
      </c>
      <c r="M28" s="7">
        <v>-5.0011275387712057</v>
      </c>
    </row>
    <row r="29" spans="10:13" x14ac:dyDescent="0.25">
      <c r="J29" s="7">
        <v>27</v>
      </c>
      <c r="K29" s="7">
        <v>1.0000000397220559</v>
      </c>
      <c r="L29" s="7">
        <v>2.0000877074614634</v>
      </c>
      <c r="M29" s="7">
        <v>-4.9998210322457055</v>
      </c>
    </row>
    <row r="30" spans="10:13" x14ac:dyDescent="0.25">
      <c r="J30" s="7">
        <v>28</v>
      </c>
      <c r="K30" s="7">
        <v>1.0000000397220559</v>
      </c>
      <c r="L30" s="7">
        <v>2.0000877074614634</v>
      </c>
      <c r="M30" s="7">
        <v>-4.9998210322457055</v>
      </c>
    </row>
    <row r="31" spans="10:13" x14ac:dyDescent="0.25">
      <c r="J31" s="1">
        <v>29</v>
      </c>
      <c r="K31" s="1">
        <v>1.0000000397220559</v>
      </c>
      <c r="L31" s="1">
        <v>2.0000877074614634</v>
      </c>
      <c r="M31" s="1">
        <v>-4.9998210322457055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_DifferentialEvolution">
                <anchor moveWithCells="1" sizeWithCells="1">
                  <from>
                    <xdr:col>1</xdr:col>
                    <xdr:colOff>30480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1"/>
  <sheetViews>
    <sheetView tabSelected="1" zoomScale="145" zoomScaleNormal="145" workbookViewId="0">
      <selection activeCell="B7" sqref="B7"/>
    </sheetView>
  </sheetViews>
  <sheetFormatPr defaultColWidth="8.77734375" defaultRowHeight="13.8" x14ac:dyDescent="0.25"/>
  <cols>
    <col min="1" max="1" width="16.21875" style="1" bestFit="1" customWidth="1"/>
    <col min="2" max="16384" width="8.77734375" style="1"/>
  </cols>
  <sheetData>
    <row r="1" spans="1:13" ht="15" x14ac:dyDescent="0.3">
      <c r="A1" s="1" t="s">
        <v>0</v>
      </c>
      <c r="B1" s="1" t="s">
        <v>1</v>
      </c>
      <c r="C1" s="1" t="s">
        <v>2</v>
      </c>
      <c r="D1" s="2" t="s">
        <v>6</v>
      </c>
      <c r="F1" s="1" t="s">
        <v>1</v>
      </c>
      <c r="G1" s="1" t="s">
        <v>2</v>
      </c>
      <c r="I1" s="3" t="s">
        <v>12</v>
      </c>
      <c r="J1" s="4" t="s">
        <v>7</v>
      </c>
      <c r="K1" s="4" t="s">
        <v>11</v>
      </c>
      <c r="L1" s="4" t="s">
        <v>9</v>
      </c>
      <c r="M1" s="4" t="s">
        <v>8</v>
      </c>
    </row>
    <row r="2" spans="1:13" ht="15" x14ac:dyDescent="0.3">
      <c r="B2" s="5">
        <v>2.2468045551135756</v>
      </c>
      <c r="C2" s="5">
        <v>2.3815388044319317</v>
      </c>
      <c r="D2" s="6">
        <v>2</v>
      </c>
      <c r="E2" s="2" t="s">
        <v>4</v>
      </c>
      <c r="F2" s="6">
        <v>0</v>
      </c>
      <c r="G2" s="6">
        <v>0</v>
      </c>
      <c r="I2" s="6">
        <v>30</v>
      </c>
      <c r="J2" s="1">
        <v>0</v>
      </c>
      <c r="K2" s="1">
        <v>19.106587833808966</v>
      </c>
      <c r="L2" s="1">
        <v>2.4149036407470703</v>
      </c>
      <c r="M2" s="1">
        <v>2.6077147722244263</v>
      </c>
    </row>
    <row r="3" spans="1:13" ht="15" x14ac:dyDescent="0.3">
      <c r="D3" s="3" t="s">
        <v>10</v>
      </c>
      <c r="E3" s="2" t="s">
        <v>5</v>
      </c>
      <c r="F3" s="6">
        <v>6</v>
      </c>
      <c r="G3" s="6">
        <v>6</v>
      </c>
      <c r="J3" s="1">
        <v>1</v>
      </c>
      <c r="K3" s="1">
        <v>19.106587833808966</v>
      </c>
      <c r="L3" s="1">
        <v>2.4149036407470703</v>
      </c>
      <c r="M3" s="1">
        <v>2.6077147722244263</v>
      </c>
    </row>
    <row r="4" spans="1:13" ht="15" x14ac:dyDescent="0.3">
      <c r="A4" s="1" t="s">
        <v>15</v>
      </c>
      <c r="B4" s="5">
        <f>B7+10*MAX(B5*-1,0)+MAX(B6*-1,0)</f>
        <v>13.590960143401519</v>
      </c>
      <c r="D4" s="6">
        <v>12</v>
      </c>
      <c r="J4" s="1">
        <v>2</v>
      </c>
      <c r="K4" s="1">
        <v>19.106587833808966</v>
      </c>
      <c r="L4" s="1">
        <v>2.4149036407470703</v>
      </c>
      <c r="M4" s="1">
        <v>2.6077147722244263</v>
      </c>
    </row>
    <row r="5" spans="1:13" ht="15" x14ac:dyDescent="0.3">
      <c r="A5" s="1" t="s">
        <v>13</v>
      </c>
      <c r="B5" s="6">
        <f>4.84-(B2-0.05)^2-(C2-2.5)^2</f>
        <v>1.6691776827875565E-5</v>
      </c>
      <c r="C5" s="1" t="s">
        <v>14</v>
      </c>
      <c r="D5" s="1">
        <v>0</v>
      </c>
      <c r="J5" s="1">
        <v>3</v>
      </c>
      <c r="K5" s="1">
        <v>19.106587833808966</v>
      </c>
      <c r="L5" s="1">
        <v>2.4149036407470703</v>
      </c>
      <c r="M5" s="1">
        <v>2.6077147722244263</v>
      </c>
    </row>
    <row r="6" spans="1:13" ht="15" x14ac:dyDescent="0.3">
      <c r="B6" s="6">
        <f>B2^2+(C2-2.5)^2-4.84</f>
        <v>0.22216376373452817</v>
      </c>
      <c r="C6" s="1" t="s">
        <v>14</v>
      </c>
      <c r="D6" s="1">
        <v>0</v>
      </c>
      <c r="J6" s="1">
        <v>4</v>
      </c>
      <c r="K6" s="1">
        <v>16.930536972887097</v>
      </c>
      <c r="L6" s="1">
        <v>2.4249450378119946</v>
      </c>
      <c r="M6" s="1">
        <v>2.2821336597204205</v>
      </c>
    </row>
    <row r="7" spans="1:13" ht="15" x14ac:dyDescent="0.3">
      <c r="A7" s="1" t="s">
        <v>16</v>
      </c>
      <c r="B7" s="8">
        <f>(B2^2+C2-11)^2+(B2+C2^2-7)^2</f>
        <v>13.590960143401519</v>
      </c>
      <c r="D7" s="7"/>
      <c r="J7" s="1">
        <v>5</v>
      </c>
      <c r="K7" s="1">
        <v>14.885666980553335</v>
      </c>
      <c r="L7" s="1">
        <v>2.2155814915895462</v>
      </c>
      <c r="M7" s="1">
        <v>2.4766316704452036</v>
      </c>
    </row>
    <row r="8" spans="1:13" ht="15" x14ac:dyDescent="0.3">
      <c r="J8" s="1">
        <v>6</v>
      </c>
      <c r="K8" s="1">
        <v>14.750092354437358</v>
      </c>
      <c r="L8" s="1">
        <v>2.2105687905102966</v>
      </c>
      <c r="M8" s="1">
        <v>2.4088846810162066</v>
      </c>
    </row>
    <row r="9" spans="1:13" ht="15" x14ac:dyDescent="0.3">
      <c r="J9" s="1">
        <v>7</v>
      </c>
      <c r="K9" s="1">
        <v>14.690677114968114</v>
      </c>
      <c r="L9" s="1">
        <v>2.2155814915895462</v>
      </c>
      <c r="M9" s="1">
        <v>2.438137171044946</v>
      </c>
    </row>
    <row r="10" spans="1:13" ht="15" x14ac:dyDescent="0.3">
      <c r="J10" s="1">
        <v>8</v>
      </c>
      <c r="K10" s="1">
        <v>14.052482570144685</v>
      </c>
      <c r="L10" s="1">
        <v>2.2315814039669926</v>
      </c>
      <c r="M10" s="1">
        <v>2.3301483124494551</v>
      </c>
    </row>
    <row r="11" spans="1:13" ht="13.95" x14ac:dyDescent="0.3">
      <c r="J11" s="1">
        <v>9</v>
      </c>
      <c r="K11" s="1">
        <v>13.690344775611035</v>
      </c>
      <c r="L11" s="1">
        <v>2.2540635574318002</v>
      </c>
      <c r="M11" s="1">
        <v>2.3834487691987309</v>
      </c>
    </row>
    <row r="12" spans="1:13" ht="13.95" x14ac:dyDescent="0.3">
      <c r="J12" s="1">
        <v>10</v>
      </c>
      <c r="K12" s="1">
        <v>13.690344775611035</v>
      </c>
      <c r="L12" s="1">
        <v>2.2540635574318002</v>
      </c>
      <c r="M12" s="1">
        <v>2.3834487691987309</v>
      </c>
    </row>
    <row r="13" spans="1:13" ht="13.95" x14ac:dyDescent="0.3">
      <c r="J13" s="1">
        <v>11</v>
      </c>
      <c r="K13" s="1">
        <v>13.690344775611035</v>
      </c>
      <c r="L13" s="1">
        <v>2.2540635574318002</v>
      </c>
      <c r="M13" s="1">
        <v>2.3834487691987309</v>
      </c>
    </row>
    <row r="14" spans="1:13" ht="13.95" x14ac:dyDescent="0.3">
      <c r="J14" s="1">
        <v>12</v>
      </c>
      <c r="K14" s="1">
        <v>13.690344775611035</v>
      </c>
      <c r="L14" s="1">
        <v>2.2540635574318002</v>
      </c>
      <c r="M14" s="1">
        <v>2.3834487691987309</v>
      </c>
    </row>
    <row r="15" spans="1:13" ht="13.95" x14ac:dyDescent="0.3">
      <c r="J15" s="1">
        <v>13</v>
      </c>
      <c r="K15" s="1">
        <v>13.62670077286352</v>
      </c>
      <c r="L15" s="1">
        <v>2.2474223980422718</v>
      </c>
      <c r="M15" s="1">
        <v>2.3623172920801148</v>
      </c>
    </row>
    <row r="16" spans="1:13" ht="13.95" x14ac:dyDescent="0.3">
      <c r="J16" s="1">
        <v>14</v>
      </c>
      <c r="K16" s="1">
        <v>13.626335795399582</v>
      </c>
      <c r="L16" s="1">
        <v>2.2489855297447092</v>
      </c>
      <c r="M16" s="1">
        <v>2.4076253846673348</v>
      </c>
    </row>
    <row r="17" spans="10:13" ht="13.95" x14ac:dyDescent="0.3">
      <c r="J17" s="1">
        <v>15</v>
      </c>
      <c r="K17" s="1">
        <v>13.626335795399582</v>
      </c>
      <c r="L17" s="1">
        <v>2.2489855297447092</v>
      </c>
      <c r="M17" s="1">
        <v>2.4076253846673348</v>
      </c>
    </row>
    <row r="18" spans="10:13" ht="13.95" x14ac:dyDescent="0.3">
      <c r="J18" s="1">
        <v>16</v>
      </c>
      <c r="K18" s="1">
        <v>13.607540920055428</v>
      </c>
      <c r="L18" s="1">
        <v>2.2478225086457191</v>
      </c>
      <c r="M18" s="1">
        <v>2.3782803730837707</v>
      </c>
    </row>
    <row r="19" spans="10:13" ht="13.95" x14ac:dyDescent="0.3">
      <c r="J19" s="1">
        <v>17</v>
      </c>
      <c r="K19" s="1">
        <v>13.607482411066432</v>
      </c>
      <c r="L19" s="1">
        <v>2.2482132915713287</v>
      </c>
      <c r="M19" s="1">
        <v>2.3861778660723978</v>
      </c>
    </row>
    <row r="20" spans="10:13" ht="13.95" x14ac:dyDescent="0.3">
      <c r="J20" s="1">
        <v>18</v>
      </c>
      <c r="K20" s="1">
        <v>13.602604450970128</v>
      </c>
      <c r="L20" s="1">
        <v>2.2474387479047966</v>
      </c>
      <c r="M20" s="1">
        <v>2.3779696348690313</v>
      </c>
    </row>
    <row r="21" spans="10:13" ht="13.95" x14ac:dyDescent="0.3">
      <c r="J21" s="1">
        <v>19</v>
      </c>
      <c r="K21" s="1">
        <v>13.602604450970128</v>
      </c>
      <c r="L21" s="1">
        <v>2.2474387479047966</v>
      </c>
      <c r="M21" s="1">
        <v>2.3779696348690313</v>
      </c>
    </row>
    <row r="22" spans="10:13" ht="13.95" x14ac:dyDescent="0.3">
      <c r="J22" s="1">
        <v>20</v>
      </c>
      <c r="K22" s="1">
        <v>13.594896082623002</v>
      </c>
      <c r="L22" s="1">
        <v>2.2463219599889697</v>
      </c>
      <c r="M22" s="1">
        <v>2.37189972895959</v>
      </c>
    </row>
    <row r="23" spans="10:13" x14ac:dyDescent="0.25">
      <c r="J23" s="1">
        <v>21</v>
      </c>
      <c r="K23" s="1">
        <v>13.593012089485057</v>
      </c>
      <c r="L23" s="1">
        <v>2.2471956745360204</v>
      </c>
      <c r="M23" s="1">
        <v>2.3872501452882595</v>
      </c>
    </row>
    <row r="24" spans="10:13" x14ac:dyDescent="0.25">
      <c r="J24" s="1">
        <v>22</v>
      </c>
      <c r="K24" s="1">
        <v>13.591986063048115</v>
      </c>
      <c r="L24" s="1">
        <v>2.2469622154081446</v>
      </c>
      <c r="M24" s="1">
        <v>2.3829015734973549</v>
      </c>
    </row>
    <row r="25" spans="10:13" x14ac:dyDescent="0.25">
      <c r="J25" s="1">
        <v>23</v>
      </c>
      <c r="K25" s="1">
        <v>13.591986063048115</v>
      </c>
      <c r="L25" s="1">
        <v>2.2469622154081446</v>
      </c>
      <c r="M25" s="1">
        <v>2.3829015734973549</v>
      </c>
    </row>
    <row r="26" spans="10:13" x14ac:dyDescent="0.25">
      <c r="J26" s="1">
        <v>24</v>
      </c>
      <c r="K26" s="1">
        <v>13.591986063048115</v>
      </c>
      <c r="L26" s="1">
        <v>2.2469622154081446</v>
      </c>
      <c r="M26" s="1">
        <v>2.3829015734973549</v>
      </c>
    </row>
    <row r="27" spans="10:13" x14ac:dyDescent="0.25">
      <c r="J27" s="1">
        <v>25</v>
      </c>
      <c r="K27" s="1">
        <v>13.590960143401519</v>
      </c>
      <c r="L27" s="1">
        <v>2.2468045551135756</v>
      </c>
      <c r="M27" s="1">
        <v>2.3815388044319317</v>
      </c>
    </row>
    <row r="28" spans="10:13" x14ac:dyDescent="0.25">
      <c r="J28" s="1">
        <v>26</v>
      </c>
      <c r="K28" s="1">
        <v>13.590960143401519</v>
      </c>
      <c r="L28" s="1">
        <v>2.2468045551135756</v>
      </c>
      <c r="M28" s="1">
        <v>2.3815388044319317</v>
      </c>
    </row>
    <row r="29" spans="10:13" x14ac:dyDescent="0.25">
      <c r="J29" s="1">
        <v>27</v>
      </c>
      <c r="K29" s="1">
        <v>13.590960143401519</v>
      </c>
      <c r="L29" s="1">
        <v>2.2468045551135756</v>
      </c>
      <c r="M29" s="1">
        <v>2.3815388044319317</v>
      </c>
    </row>
    <row r="30" spans="10:13" x14ac:dyDescent="0.25">
      <c r="J30" s="1">
        <v>28</v>
      </c>
      <c r="K30" s="1">
        <v>13.590960143401519</v>
      </c>
      <c r="L30" s="1">
        <v>2.2468045551135756</v>
      </c>
      <c r="M30" s="1">
        <v>2.3815388044319317</v>
      </c>
    </row>
    <row r="31" spans="10:13" x14ac:dyDescent="0.25">
      <c r="J31" s="1">
        <v>29</v>
      </c>
      <c r="K31" s="1">
        <v>13.590960143401519</v>
      </c>
      <c r="L31" s="1">
        <v>2.2468045551135756</v>
      </c>
      <c r="M31" s="1">
        <v>2.3815388044319317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_DifferentialEvolution">
                <anchor moveWithCells="1" sizeWithCells="1">
                  <from>
                    <xdr:col>0</xdr:col>
                    <xdr:colOff>1112520</xdr:colOff>
                    <xdr:row>9</xdr:row>
                    <xdr:rowOff>53340</xdr:rowOff>
                  </from>
                  <to>
                    <xdr:col>3</xdr:col>
                    <xdr:colOff>22860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2022-04-29T01:38:27Z</dcterms:modified>
</cp:coreProperties>
</file>